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BOM" sheetId="1" state="visible" r:id="rId1"/>
    <sheet xmlns:r="http://schemas.openxmlformats.org/officeDocument/2006/relationships" name="成本汇总" sheetId="2" state="visible" r:id="rId2"/>
  </sheets>
  <definedNames>
    <definedName name="_xlnm._FilterDatabase" localSheetId="0" hidden="1">'完整BOM'!$A$1:$M$54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0" customWidth="1" min="4" max="4"/>
    <col width="24" customWidth="1" min="5" max="5"/>
    <col width="30" customWidth="1" min="6" max="6"/>
    <col width="42" customWidth="1" min="7" max="7"/>
    <col width="18" customWidth="1" min="8" max="8"/>
    <col width="12" customWidth="1" min="9" max="9"/>
    <col width="15" customWidth="1" min="10" max="10"/>
    <col width="16" customWidth="1" min="11" max="11"/>
    <col width="20" customWidth="1" min="12" max="12"/>
    <col width="46" customWidth="1" min="13" max="13"/>
  </cols>
  <sheetData>
    <row r="1">
      <c r="A1" s="1" t="inlineStr">
        <is>
          <t>类别</t>
        </is>
      </c>
      <c r="B1" s="1" t="inlineStr">
        <is>
          <t>位号</t>
        </is>
      </c>
      <c r="C1" s="1" t="inlineStr">
        <is>
          <t>名称</t>
        </is>
      </c>
      <c r="D1" s="1" t="inlineStr">
        <is>
          <t>单板用量</t>
        </is>
      </c>
      <c r="E1" s="1" t="inlineStr">
        <is>
          <t>建议品牌</t>
        </is>
      </c>
      <c r="F1" s="1" t="inlineStr">
        <is>
          <t>建议型号/料号</t>
        </is>
      </c>
      <c r="G1" s="1" t="inlineStr">
        <is>
          <t>关键规格</t>
        </is>
      </c>
      <c r="H1" s="1" t="inlineStr">
        <is>
          <t>封装</t>
        </is>
      </c>
      <c r="I1" s="1" t="inlineStr">
        <is>
          <t>装配状态</t>
        </is>
      </c>
      <c r="J1" s="1" t="inlineStr">
        <is>
          <t>100套单价(元)</t>
        </is>
      </c>
      <c r="K1" s="1" t="inlineStr">
        <is>
          <t>1000套单价(元)</t>
        </is>
      </c>
      <c r="L1" s="1" t="inlineStr">
        <is>
          <t>1000套单板金额(元)</t>
        </is>
      </c>
      <c r="M1" s="1" t="inlineStr">
        <is>
          <t>说明</t>
        </is>
      </c>
    </row>
    <row r="2">
      <c r="A2" s="2" t="inlineStr">
        <is>
          <t>电源输入</t>
        </is>
      </c>
      <c r="B2" s="2" t="inlineStr">
        <is>
          <t>J1</t>
        </is>
      </c>
      <c r="C2" s="2" t="inlineStr">
        <is>
          <t>2P接线端子</t>
        </is>
      </c>
      <c r="D2" s="2" t="n">
        <v>1</v>
      </c>
      <c r="E2" s="2" t="inlineStr">
        <is>
          <t>Degson/同等</t>
        </is>
      </c>
      <c r="F2" s="2" t="inlineStr">
        <is>
          <t>DG128-5.08-02P</t>
        </is>
      </c>
      <c r="G2" s="2" t="inlineStr">
        <is>
          <t>2Pin, 5.08mm, 300V/10A</t>
        </is>
      </c>
      <c r="H2" s="2" t="inlineStr">
        <is>
          <t>THT 5.08mm</t>
        </is>
      </c>
      <c r="I2" s="2" t="inlineStr">
        <is>
          <t>装配</t>
        </is>
      </c>
      <c r="J2" s="3" t="n">
        <v>1.2</v>
      </c>
      <c r="K2" s="3" t="n">
        <v>0.85</v>
      </c>
      <c r="L2" s="3">
        <f>IF(I2="DNP",0,D2*K2)</f>
        <v/>
      </c>
      <c r="M2" s="2" t="inlineStr">
        <is>
          <t>12V/GND</t>
        </is>
      </c>
    </row>
    <row r="3">
      <c r="A3" s="2" t="inlineStr">
        <is>
          <t>电源输入</t>
        </is>
      </c>
      <c r="B3" s="2" t="inlineStr">
        <is>
          <t>F1</t>
        </is>
      </c>
      <c r="C3" s="2" t="inlineStr">
        <is>
          <t>自恢复保险丝</t>
        </is>
      </c>
      <c r="D3" s="2" t="n">
        <v>1</v>
      </c>
      <c r="E3" s="2" t="inlineStr">
        <is>
          <t>Bourns</t>
        </is>
      </c>
      <c r="F3" s="2" t="inlineStr">
        <is>
          <t>MF-MSMF050-2</t>
        </is>
      </c>
      <c r="G3" s="2" t="inlineStr">
        <is>
          <t>0.5A hold, 1A trip, 15V</t>
        </is>
      </c>
      <c r="H3" s="2" t="inlineStr">
        <is>
          <t>1812</t>
        </is>
      </c>
      <c r="I3" s="2" t="inlineStr">
        <is>
          <t>装配</t>
        </is>
      </c>
      <c r="J3" s="3" t="n">
        <v>1.1</v>
      </c>
      <c r="K3" s="3" t="n">
        <v>0.78</v>
      </c>
      <c r="L3" s="3">
        <f>IF(I3="DNP",0,D3*K3)</f>
        <v/>
      </c>
      <c r="M3" s="2" t="inlineStr">
        <is>
          <t>车载版建议核对最大工作电压</t>
        </is>
      </c>
    </row>
    <row r="4">
      <c r="A4" s="2" t="inlineStr">
        <is>
          <t>电源输入</t>
        </is>
      </c>
      <c r="B4" s="2" t="inlineStr">
        <is>
          <t>D1</t>
        </is>
      </c>
      <c r="C4" s="2" t="inlineStr">
        <is>
          <t>反接串联肖特基</t>
        </is>
      </c>
      <c r="D4" s="2" t="n">
        <v>1</v>
      </c>
      <c r="E4" s="2" t="inlineStr">
        <is>
          <t>Vishay</t>
        </is>
      </c>
      <c r="F4" s="2" t="inlineStr">
        <is>
          <t>SS110-E3/61T</t>
        </is>
      </c>
      <c r="G4" s="2" t="inlineStr">
        <is>
          <t>1A, 100V Schottky</t>
        </is>
      </c>
      <c r="H4" s="2" t="inlineStr">
        <is>
          <t>SMA</t>
        </is>
      </c>
      <c r="I4" s="2" t="inlineStr">
        <is>
          <t>装配</t>
        </is>
      </c>
      <c r="J4" s="3" t="n">
        <v>0.55</v>
      </c>
      <c r="K4" s="3" t="n">
        <v>0.38</v>
      </c>
      <c r="L4" s="3">
        <f>IF(I4="DNP",0,D4*K4)</f>
        <v/>
      </c>
      <c r="M4" s="2" t="inlineStr">
        <is>
          <t>低功耗方案；更低压降可改理想二极管</t>
        </is>
      </c>
    </row>
    <row r="5">
      <c r="A5" s="2" t="inlineStr">
        <is>
          <t>电源输入</t>
        </is>
      </c>
      <c r="B5" s="2" t="inlineStr">
        <is>
          <t>TVS1</t>
        </is>
      </c>
      <c r="C5" s="2" t="inlineStr">
        <is>
          <t>电源TVS</t>
        </is>
      </c>
      <c r="D5" s="2" t="n">
        <v>1</v>
      </c>
      <c r="E5" s="2" t="inlineStr">
        <is>
          <t>Littelfuse</t>
        </is>
      </c>
      <c r="F5" s="2" t="inlineStr">
        <is>
          <t>SMBJ24A</t>
        </is>
      </c>
      <c r="G5" s="2" t="inlineStr">
        <is>
          <t>24V standoff, 600W</t>
        </is>
      </c>
      <c r="H5" s="2" t="inlineStr">
        <is>
          <t>SMB</t>
        </is>
      </c>
      <c r="I5" s="2" t="inlineStr">
        <is>
          <t>装配</t>
        </is>
      </c>
      <c r="J5" s="3" t="n">
        <v>1.8</v>
      </c>
      <c r="K5" s="3" t="n">
        <v>1.25</v>
      </c>
      <c r="L5" s="3">
        <f>IF(I5="DNP",0,D5*K5)</f>
        <v/>
      </c>
      <c r="M5" s="2" t="inlineStr">
        <is>
          <t>需结合ISO 7637-2脉冲重新核算</t>
        </is>
      </c>
    </row>
    <row r="6">
      <c r="A6" s="2" t="inlineStr">
        <is>
          <t>电源输入</t>
        </is>
      </c>
      <c r="B6" s="2" t="inlineStr">
        <is>
          <t>C1</t>
        </is>
      </c>
      <c r="C6" s="2" t="inlineStr">
        <is>
          <t>输入陶瓷电容</t>
        </is>
      </c>
      <c r="D6" s="2" t="n">
        <v>1</v>
      </c>
      <c r="E6" s="2" t="inlineStr">
        <is>
          <t>Murata</t>
        </is>
      </c>
      <c r="F6" s="2" t="inlineStr">
        <is>
          <t>GRM32ER71H106KA12L</t>
        </is>
      </c>
      <c r="G6" s="2" t="inlineStr">
        <is>
          <t>10uF, 50V, X7R, ±10%</t>
        </is>
      </c>
      <c r="H6" s="2" t="inlineStr">
        <is>
          <t>1210</t>
        </is>
      </c>
      <c r="I6" s="2" t="inlineStr">
        <is>
          <t>装配</t>
        </is>
      </c>
      <c r="J6" s="3" t="n">
        <v>1.8</v>
      </c>
      <c r="K6" s="3" t="n">
        <v>1.2</v>
      </c>
      <c r="L6" s="3">
        <f>IF(I6="DNP",0,D6*K6)</f>
        <v/>
      </c>
      <c r="M6" s="2" t="inlineStr">
        <is>
          <t>靠近U1 VIN</t>
        </is>
      </c>
    </row>
    <row r="7">
      <c r="A7" s="2" t="inlineStr">
        <is>
          <t>电源输入</t>
        </is>
      </c>
      <c r="B7" s="2" t="inlineStr">
        <is>
          <t>C2</t>
        </is>
      </c>
      <c r="C7" s="2" t="inlineStr">
        <is>
          <t>输入高频去耦</t>
        </is>
      </c>
      <c r="D7" s="2" t="n">
        <v>1</v>
      </c>
      <c r="E7" s="2" t="inlineStr">
        <is>
          <t>Murata</t>
        </is>
      </c>
      <c r="F7" s="2" t="inlineStr">
        <is>
          <t>GRM21BR71H104KA01L</t>
        </is>
      </c>
      <c r="G7" s="2" t="inlineStr">
        <is>
          <t>100nF, 50V, X7R</t>
        </is>
      </c>
      <c r="H7" s="2" t="inlineStr">
        <is>
          <t>0805</t>
        </is>
      </c>
      <c r="I7" s="2" t="inlineStr">
        <is>
          <t>装配</t>
        </is>
      </c>
      <c r="J7" s="3" t="n">
        <v>0.18</v>
      </c>
      <c r="K7" s="3" t="n">
        <v>0.1</v>
      </c>
      <c r="L7" s="3">
        <f>IF(I7="DNP",0,D7*K7)</f>
        <v/>
      </c>
      <c r="M7" s="2" t="inlineStr"/>
    </row>
    <row r="8">
      <c r="A8" s="2" t="inlineStr">
        <is>
          <t>5V降压</t>
        </is>
      </c>
      <c r="B8" s="2" t="inlineStr">
        <is>
          <t>U1</t>
        </is>
      </c>
      <c r="C8" s="2" t="inlineStr">
        <is>
          <t>宽压降压转换器</t>
        </is>
      </c>
      <c r="D8" s="2" t="n">
        <v>1</v>
      </c>
      <c r="E8" s="2" t="inlineStr">
        <is>
          <t>Texas Instruments</t>
        </is>
      </c>
      <c r="F8" s="2" t="inlineStr">
        <is>
          <t>LMR16006YQDDCRQ1</t>
        </is>
      </c>
      <c r="G8" s="2" t="inlineStr">
        <is>
          <t>4-60V input, 0.6A, AEC-Q100</t>
        </is>
      </c>
      <c r="H8" s="2" t="inlineStr">
        <is>
          <t>SOT-23-6</t>
        </is>
      </c>
      <c r="I8" s="2" t="inlineStr">
        <is>
          <t>装配</t>
        </is>
      </c>
      <c r="J8" s="3" t="n">
        <v>6.8</v>
      </c>
      <c r="K8" s="3" t="n">
        <v>5.2</v>
      </c>
      <c r="L8" s="3">
        <f>IF(I8="DNP",0,D8*K8)</f>
        <v/>
      </c>
      <c r="M8" s="2" t="inlineStr">
        <is>
          <t>正式投板须按TI参考设计复核补偿与热设计</t>
        </is>
      </c>
    </row>
    <row r="9">
      <c r="A9" s="2" t="inlineStr">
        <is>
          <t>5V降压</t>
        </is>
      </c>
      <c r="B9" s="2" t="inlineStr">
        <is>
          <t>L1</t>
        </is>
      </c>
      <c r="C9" s="2" t="inlineStr">
        <is>
          <t>功率电感</t>
        </is>
      </c>
      <c r="D9" s="2" t="n">
        <v>1</v>
      </c>
      <c r="E9" s="2" t="inlineStr">
        <is>
          <t>Sunlord</t>
        </is>
      </c>
      <c r="F9" s="2" t="inlineStr">
        <is>
          <t>SWPA5040S470MT</t>
        </is>
      </c>
      <c r="G9" s="2" t="inlineStr">
        <is>
          <t>47uH, Isat≥1.1A, DCR≤0.45Ω</t>
        </is>
      </c>
      <c r="H9" s="2" t="inlineStr">
        <is>
          <t>5.0x5.0mm</t>
        </is>
      </c>
      <c r="I9" s="2" t="inlineStr">
        <is>
          <t>装配</t>
        </is>
      </c>
      <c r="J9" s="3" t="n">
        <v>1.8</v>
      </c>
      <c r="K9" s="3" t="n">
        <v>1.15</v>
      </c>
      <c r="L9" s="3">
        <f>IF(I9="DNP",0,D9*K9)</f>
        <v/>
      </c>
      <c r="M9" s="2" t="inlineStr">
        <is>
          <t>可替换TDK/伍尔特同规格</t>
        </is>
      </c>
    </row>
    <row r="10">
      <c r="A10" s="2" t="inlineStr">
        <is>
          <t>5V降压</t>
        </is>
      </c>
      <c r="B10" s="2" t="inlineStr">
        <is>
          <t>D2</t>
        </is>
      </c>
      <c r="C10" s="2" t="inlineStr">
        <is>
          <t>续流肖特基</t>
        </is>
      </c>
      <c r="D10" s="2" t="n">
        <v>1</v>
      </c>
      <c r="E10" s="2" t="inlineStr">
        <is>
          <t>Vishay</t>
        </is>
      </c>
      <c r="F10" s="2" t="inlineStr">
        <is>
          <t>SS36-E3/57T</t>
        </is>
      </c>
      <c r="G10" s="2" t="inlineStr">
        <is>
          <t>3A, 60V Schottky</t>
        </is>
      </c>
      <c r="H10" s="2" t="inlineStr">
        <is>
          <t>SMA</t>
        </is>
      </c>
      <c r="I10" s="2" t="inlineStr">
        <is>
          <t>装配</t>
        </is>
      </c>
      <c r="J10" s="3" t="n">
        <v>0.75</v>
      </c>
      <c r="K10" s="3" t="n">
        <v>0.48</v>
      </c>
      <c r="L10" s="3">
        <f>IF(I10="DNP",0,D10*K10)</f>
        <v/>
      </c>
      <c r="M10" s="2" t="inlineStr">
        <is>
          <t>阴极接SW</t>
        </is>
      </c>
    </row>
    <row r="11">
      <c r="A11" s="2" t="inlineStr">
        <is>
          <t>5V降压</t>
        </is>
      </c>
      <c r="B11" s="2" t="inlineStr">
        <is>
          <t>C3</t>
        </is>
      </c>
      <c r="C11" s="2" t="inlineStr">
        <is>
          <t>5V输出电容</t>
        </is>
      </c>
      <c r="D11" s="2" t="n">
        <v>1</v>
      </c>
      <c r="E11" s="2" t="inlineStr">
        <is>
          <t>Murata</t>
        </is>
      </c>
      <c r="F11" s="2" t="inlineStr">
        <is>
          <t>GRM32ER71A476KE15L</t>
        </is>
      </c>
      <c r="G11" s="2" t="inlineStr">
        <is>
          <t>47uF, 10V, X7R</t>
        </is>
      </c>
      <c r="H11" s="2" t="inlineStr">
        <is>
          <t>1210</t>
        </is>
      </c>
      <c r="I11" s="2" t="inlineStr">
        <is>
          <t>装配</t>
        </is>
      </c>
      <c r="J11" s="3" t="n">
        <v>2.2</v>
      </c>
      <c r="K11" s="3" t="n">
        <v>1.55</v>
      </c>
      <c r="L11" s="3">
        <f>IF(I11="DNP",0,D11*K11)</f>
        <v/>
      </c>
      <c r="M11" s="2" t="inlineStr">
        <is>
          <t>核对DC bias后有效容量</t>
        </is>
      </c>
    </row>
    <row r="12">
      <c r="A12" s="2" t="inlineStr">
        <is>
          <t>5V降压</t>
        </is>
      </c>
      <c r="B12" s="2" t="inlineStr">
        <is>
          <t>C4</t>
        </is>
      </c>
      <c r="C12" s="2" t="inlineStr">
        <is>
          <t>5V高频去耦</t>
        </is>
      </c>
      <c r="D12" s="2" t="n">
        <v>1</v>
      </c>
      <c r="E12" s="2" t="inlineStr">
        <is>
          <t>Murata</t>
        </is>
      </c>
      <c r="F12" s="2" t="inlineStr">
        <is>
          <t>GRM188R71A104KA01D</t>
        </is>
      </c>
      <c r="G12" s="2" t="inlineStr">
        <is>
          <t>100nF, 10V, X7R</t>
        </is>
      </c>
      <c r="H12" s="2" t="inlineStr">
        <is>
          <t>0603</t>
        </is>
      </c>
      <c r="I12" s="2" t="inlineStr">
        <is>
          <t>装配</t>
        </is>
      </c>
      <c r="J12" s="3" t="n">
        <v>0.08</v>
      </c>
      <c r="K12" s="3" t="n">
        <v>0.04</v>
      </c>
      <c r="L12" s="3">
        <f>IF(I12="DNP",0,D12*K12)</f>
        <v/>
      </c>
      <c r="M12" s="2" t="inlineStr"/>
    </row>
    <row r="13">
      <c r="A13" s="2" t="inlineStr">
        <is>
          <t>5V降压</t>
        </is>
      </c>
      <c r="B13" s="2" t="inlineStr">
        <is>
          <t>C20</t>
        </is>
      </c>
      <c r="C13" s="2" t="inlineStr">
        <is>
          <t>BOOT电容</t>
        </is>
      </c>
      <c r="D13" s="2" t="n">
        <v>1</v>
      </c>
      <c r="E13" s="2" t="inlineStr">
        <is>
          <t>Murata</t>
        </is>
      </c>
      <c r="F13" s="2" t="inlineStr">
        <is>
          <t>GRM188R71H104KA93D</t>
        </is>
      </c>
      <c r="G13" s="2" t="inlineStr">
        <is>
          <t>100nF, 50V, X7R</t>
        </is>
      </c>
      <c r="H13" s="2" t="inlineStr">
        <is>
          <t>0603</t>
        </is>
      </c>
      <c r="I13" s="2" t="inlineStr">
        <is>
          <t>装配</t>
        </is>
      </c>
      <c r="J13" s="3" t="n">
        <v>0.1</v>
      </c>
      <c r="K13" s="3" t="n">
        <v>0.05</v>
      </c>
      <c r="L13" s="3">
        <f>IF(I13="DNP",0,D13*K13)</f>
        <v/>
      </c>
      <c r="M13" s="2" t="inlineStr">
        <is>
          <t>BOOT-SW</t>
        </is>
      </c>
    </row>
    <row r="14">
      <c r="A14" s="2" t="inlineStr">
        <is>
          <t>5V降压</t>
        </is>
      </c>
      <c r="B14" s="2" t="inlineStr">
        <is>
          <t>R1</t>
        </is>
      </c>
      <c r="C14" s="2" t="inlineStr">
        <is>
          <t>反馈上拉电阻</t>
        </is>
      </c>
      <c r="D14" s="2" t="n">
        <v>1</v>
      </c>
      <c r="E14" s="2" t="inlineStr">
        <is>
          <t>Yageo</t>
        </is>
      </c>
      <c r="F14" s="2" t="inlineStr">
        <is>
          <t>RC0603FR-0756KL</t>
        </is>
      </c>
      <c r="G14" s="2" t="inlineStr">
        <is>
          <t>56kΩ, 1%, 0.1W</t>
        </is>
      </c>
      <c r="H14" s="2" t="inlineStr">
        <is>
          <t>0603</t>
        </is>
      </c>
      <c r="I14" s="2" t="inlineStr">
        <is>
          <t>装配</t>
        </is>
      </c>
      <c r="J14" s="3" t="n">
        <v>0.05</v>
      </c>
      <c r="K14" s="3" t="n">
        <v>0.02</v>
      </c>
      <c r="L14" s="3">
        <f>IF(I14="DNP",0,D14*K14)</f>
        <v/>
      </c>
      <c r="M14" s="2" t="inlineStr">
        <is>
          <t>输出约5.0V，最终按U1基准核对</t>
        </is>
      </c>
    </row>
    <row r="15">
      <c r="A15" s="2" t="inlineStr">
        <is>
          <t>5V降压</t>
        </is>
      </c>
      <c r="B15" s="2" t="inlineStr">
        <is>
          <t>R2</t>
        </is>
      </c>
      <c r="C15" s="2" t="inlineStr">
        <is>
          <t>反馈下拉电阻</t>
        </is>
      </c>
      <c r="D15" s="2" t="n">
        <v>1</v>
      </c>
      <c r="E15" s="2" t="inlineStr">
        <is>
          <t>Yageo</t>
        </is>
      </c>
      <c r="F15" s="2" t="inlineStr">
        <is>
          <t>RC0603FR-0710KL</t>
        </is>
      </c>
      <c r="G15" s="2" t="inlineStr">
        <is>
          <t>10kΩ, 1%, 0.1W</t>
        </is>
      </c>
      <c r="H15" s="2" t="inlineStr">
        <is>
          <t>0603</t>
        </is>
      </c>
      <c r="I15" s="2" t="inlineStr">
        <is>
          <t>装配</t>
        </is>
      </c>
      <c r="J15" s="3" t="n">
        <v>0.05</v>
      </c>
      <c r="K15" s="3" t="n">
        <v>0.02</v>
      </c>
      <c r="L15" s="3">
        <f>IF(I15="DNP",0,D15*K15)</f>
        <v/>
      </c>
      <c r="M15" s="2" t="inlineStr"/>
    </row>
    <row r="16">
      <c r="A16" s="2" t="inlineStr">
        <is>
          <t>3V3稳压</t>
        </is>
      </c>
      <c r="B16" s="2" t="inlineStr">
        <is>
          <t>U2</t>
        </is>
      </c>
      <c r="C16" s="2" t="inlineStr">
        <is>
          <t>3.3V LDO</t>
        </is>
      </c>
      <c r="D16" s="2" t="n">
        <v>1</v>
      </c>
      <c r="E16" s="2" t="inlineStr">
        <is>
          <t>Texas Instruments</t>
        </is>
      </c>
      <c r="F16" s="2" t="inlineStr">
        <is>
          <t>TLV70033QDDCRQ1</t>
        </is>
      </c>
      <c r="G16" s="2" t="inlineStr">
        <is>
          <t>3.3V, 200mA, AEC-Q100</t>
        </is>
      </c>
      <c r="H16" s="2" t="inlineStr">
        <is>
          <t>SOT-23-5</t>
        </is>
      </c>
      <c r="I16" s="2" t="inlineStr">
        <is>
          <t>装配</t>
        </is>
      </c>
      <c r="J16" s="3" t="n">
        <v>2.2</v>
      </c>
      <c r="K16" s="3" t="n">
        <v>1.55</v>
      </c>
      <c r="L16" s="3">
        <f>IF(I16="DNP",0,D16*K16)</f>
        <v/>
      </c>
      <c r="M16" s="2" t="inlineStr"/>
    </row>
    <row r="17">
      <c r="A17" s="2" t="inlineStr">
        <is>
          <t>3V3稳压</t>
        </is>
      </c>
      <c r="B17" s="2" t="inlineStr">
        <is>
          <t>C5,C6</t>
        </is>
      </c>
      <c r="C17" s="2" t="inlineStr">
        <is>
          <t>LDO输入/输出电容</t>
        </is>
      </c>
      <c r="D17" s="2" t="n">
        <v>2</v>
      </c>
      <c r="E17" s="2" t="inlineStr">
        <is>
          <t>Murata</t>
        </is>
      </c>
      <c r="F17" s="2" t="inlineStr">
        <is>
          <t>GRM21BR71A106KE51L</t>
        </is>
      </c>
      <c r="G17" s="2" t="inlineStr">
        <is>
          <t>10uF, 10V, X7R</t>
        </is>
      </c>
      <c r="H17" s="2" t="inlineStr">
        <is>
          <t>0805</t>
        </is>
      </c>
      <c r="I17" s="2" t="inlineStr">
        <is>
          <t>装配</t>
        </is>
      </c>
      <c r="J17" s="3" t="n">
        <v>0.42</v>
      </c>
      <c r="K17" s="3" t="n">
        <v>0.25</v>
      </c>
      <c r="L17" s="3">
        <f>IF(I17="DNP",0,D17*K17)</f>
        <v/>
      </c>
      <c r="M17" s="2" t="inlineStr">
        <is>
          <t>每颗稳压器引脚附近放置</t>
        </is>
      </c>
    </row>
    <row r="18">
      <c r="A18" s="2" t="inlineStr">
        <is>
          <t>3V3稳压</t>
        </is>
      </c>
      <c r="B18" s="2" t="inlineStr">
        <is>
          <t>C7,C8,C9,C10,C11,C12,C14,C17,C18</t>
        </is>
      </c>
      <c r="C18" s="2" t="inlineStr">
        <is>
          <t>数字/收发器去耦</t>
        </is>
      </c>
      <c r="D18" s="2" t="n">
        <v>9</v>
      </c>
      <c r="E18" s="2" t="inlineStr">
        <is>
          <t>Murata</t>
        </is>
      </c>
      <c r="F18" s="2" t="inlineStr">
        <is>
          <t>GRM188R71C104KA01D</t>
        </is>
      </c>
      <c r="G18" s="2" t="inlineStr">
        <is>
          <t>100nF, 16V, X7R</t>
        </is>
      </c>
      <c r="H18" s="2" t="inlineStr">
        <is>
          <t>0603</t>
        </is>
      </c>
      <c r="I18" s="2" t="inlineStr">
        <is>
          <t>装配</t>
        </is>
      </c>
      <c r="J18" s="3" t="n">
        <v>0.07000000000000001</v>
      </c>
      <c r="K18" s="3" t="n">
        <v>0.035</v>
      </c>
      <c r="L18" s="3">
        <f>IF(I18="DNP",0,D18*K18)</f>
        <v/>
      </c>
      <c r="M18" s="2" t="inlineStr">
        <is>
          <t>每个VDD/VCC/VIO引脚就近一颗</t>
        </is>
      </c>
    </row>
    <row r="19">
      <c r="A19" s="2" t="inlineStr">
        <is>
          <t>MCU</t>
        </is>
      </c>
      <c r="B19" s="2" t="inlineStr">
        <is>
          <t>U3</t>
        </is>
      </c>
      <c r="C19" s="2" t="inlineStr">
        <is>
          <t>微控制器</t>
        </is>
      </c>
      <c r="D19" s="2" t="n">
        <v>1</v>
      </c>
      <c r="E19" s="2" t="inlineStr">
        <is>
          <t>STMicroelectronics</t>
        </is>
      </c>
      <c r="F19" s="2" t="inlineStr">
        <is>
          <t>STM32F103C8T6</t>
        </is>
      </c>
      <c r="G19" s="2" t="inlineStr">
        <is>
          <t>Cortex-M3, 64KB Flash, bxCAN, LQFP48</t>
        </is>
      </c>
      <c r="H19" s="2" t="inlineStr">
        <is>
          <t>LQFP-48</t>
        </is>
      </c>
      <c r="I19" s="2" t="inlineStr">
        <is>
          <t>装配</t>
        </is>
      </c>
      <c r="J19" s="3" t="n">
        <v>12.5</v>
      </c>
      <c r="K19" s="3" t="n">
        <v>9.5</v>
      </c>
      <c r="L19" s="3">
        <f>IF(I19="DNP",0,D19*K19)</f>
        <v/>
      </c>
      <c r="M19" s="2" t="inlineStr">
        <is>
          <t>非车规；若正式装车需改AEC-Q100 MCU</t>
        </is>
      </c>
    </row>
    <row r="20">
      <c r="A20" s="2" t="inlineStr">
        <is>
          <t>MCU</t>
        </is>
      </c>
      <c r="B20" s="2" t="inlineStr">
        <is>
          <t>Y1</t>
        </is>
      </c>
      <c r="C20" s="2" t="inlineStr">
        <is>
          <t>主晶振</t>
        </is>
      </c>
      <c r="D20" s="2" t="n">
        <v>1</v>
      </c>
      <c r="E20" s="2" t="inlineStr">
        <is>
          <t>YXC</t>
        </is>
      </c>
      <c r="F20" s="2" t="inlineStr">
        <is>
          <t>X322508MSB4SI</t>
        </is>
      </c>
      <c r="G20" s="2" t="inlineStr">
        <is>
          <t>8MHz, 10ppm, CL=12pF</t>
        </is>
      </c>
      <c r="H20" s="2" t="inlineStr">
        <is>
          <t>3225-4P</t>
        </is>
      </c>
      <c r="I20" s="2" t="inlineStr">
        <is>
          <t>装配</t>
        </is>
      </c>
      <c r="J20" s="3" t="n">
        <v>0.95</v>
      </c>
      <c r="K20" s="3" t="n">
        <v>0.62</v>
      </c>
      <c r="L20" s="3">
        <f>IF(I20="DNP",0,D20*K20)</f>
        <v/>
      </c>
      <c r="M20" s="2" t="inlineStr">
        <is>
          <t>按实际CL调整负载电容</t>
        </is>
      </c>
    </row>
    <row r="21">
      <c r="A21" s="2" t="inlineStr">
        <is>
          <t>MCU</t>
        </is>
      </c>
      <c r="B21" s="2" t="inlineStr">
        <is>
          <t>C15,C16</t>
        </is>
      </c>
      <c r="C21" s="2" t="inlineStr">
        <is>
          <t>晶振负载电容</t>
        </is>
      </c>
      <c r="D21" s="2" t="n">
        <v>2</v>
      </c>
      <c r="E21" s="2" t="inlineStr">
        <is>
          <t>Murata</t>
        </is>
      </c>
      <c r="F21" s="2" t="inlineStr">
        <is>
          <t>GRM1885C1H180JA01D</t>
        </is>
      </c>
      <c r="G21" s="2" t="inlineStr">
        <is>
          <t>18pF, 50V, C0G, ±5%</t>
        </is>
      </c>
      <c r="H21" s="2" t="inlineStr">
        <is>
          <t>0603</t>
        </is>
      </c>
      <c r="I21" s="2" t="inlineStr">
        <is>
          <t>装配</t>
        </is>
      </c>
      <c r="J21" s="3" t="n">
        <v>0.08</v>
      </c>
      <c r="K21" s="3" t="n">
        <v>0.04</v>
      </c>
      <c r="L21" s="3">
        <f>IF(I21="DNP",0,D21*K21)</f>
        <v/>
      </c>
      <c r="M21" s="2" t="inlineStr">
        <is>
          <t>需结合PCB寄生与Y1 CL复核</t>
        </is>
      </c>
    </row>
    <row r="22">
      <c r="A22" s="2" t="inlineStr">
        <is>
          <t>MCU</t>
        </is>
      </c>
      <c r="B22" s="2" t="inlineStr">
        <is>
          <t>C13</t>
        </is>
      </c>
      <c r="C22" s="2" t="inlineStr">
        <is>
          <t>MCU低频储能</t>
        </is>
      </c>
      <c r="D22" s="2" t="n">
        <v>1</v>
      </c>
      <c r="E22" s="2" t="inlineStr">
        <is>
          <t>Murata</t>
        </is>
      </c>
      <c r="F22" s="2" t="inlineStr">
        <is>
          <t>GRM188R71C105KA12D</t>
        </is>
      </c>
      <c r="G22" s="2" t="inlineStr">
        <is>
          <t>1uF, 16V, X7R</t>
        </is>
      </c>
      <c r="H22" s="2" t="inlineStr">
        <is>
          <t>0603</t>
        </is>
      </c>
      <c r="I22" s="2" t="inlineStr">
        <is>
          <t>装配</t>
        </is>
      </c>
      <c r="J22" s="3" t="n">
        <v>0.12</v>
      </c>
      <c r="K22" s="3" t="n">
        <v>0.07000000000000001</v>
      </c>
      <c r="L22" s="3">
        <f>IF(I22="DNP",0,D22*K22)</f>
        <v/>
      </c>
      <c r="M22" s="2" t="inlineStr"/>
    </row>
    <row r="23">
      <c r="A23" s="2" t="inlineStr">
        <is>
          <t>MCU</t>
        </is>
      </c>
      <c r="B23" s="2" t="inlineStr">
        <is>
          <t>R7</t>
        </is>
      </c>
      <c r="C23" s="2" t="inlineStr">
        <is>
          <t>NRST上拉</t>
        </is>
      </c>
      <c r="D23" s="2" t="n">
        <v>1</v>
      </c>
      <c r="E23" s="2" t="inlineStr">
        <is>
          <t>Yageo</t>
        </is>
      </c>
      <c r="F23" s="2" t="inlineStr">
        <is>
          <t>RC0603FR-0710KL</t>
        </is>
      </c>
      <c r="G23" s="2" t="inlineStr">
        <is>
          <t>10kΩ, 1%</t>
        </is>
      </c>
      <c r="H23" s="2" t="inlineStr">
        <is>
          <t>0603</t>
        </is>
      </c>
      <c r="I23" s="2" t="inlineStr">
        <is>
          <t>装配</t>
        </is>
      </c>
      <c r="J23" s="3" t="n">
        <v>0.05</v>
      </c>
      <c r="K23" s="3" t="n">
        <v>0.02</v>
      </c>
      <c r="L23" s="3">
        <f>IF(I23="DNP",0,D23*K23)</f>
        <v/>
      </c>
      <c r="M23" s="2" t="inlineStr"/>
    </row>
    <row r="24">
      <c r="A24" s="2" t="inlineStr">
        <is>
          <t>MCU</t>
        </is>
      </c>
      <c r="B24" s="2" t="inlineStr">
        <is>
          <t>R8</t>
        </is>
      </c>
      <c r="C24" s="2" t="inlineStr">
        <is>
          <t>BOOT0下拉</t>
        </is>
      </c>
      <c r="D24" s="2" t="n">
        <v>1</v>
      </c>
      <c r="E24" s="2" t="inlineStr">
        <is>
          <t>Yageo</t>
        </is>
      </c>
      <c r="F24" s="2" t="inlineStr">
        <is>
          <t>RC0603FR-07100KL</t>
        </is>
      </c>
      <c r="G24" s="2" t="inlineStr">
        <is>
          <t>100kΩ, 1%</t>
        </is>
      </c>
      <c r="H24" s="2" t="inlineStr">
        <is>
          <t>0603</t>
        </is>
      </c>
      <c r="I24" s="2" t="inlineStr">
        <is>
          <t>装配</t>
        </is>
      </c>
      <c r="J24" s="3" t="n">
        <v>0.05</v>
      </c>
      <c r="K24" s="3" t="n">
        <v>0.02</v>
      </c>
      <c r="L24" s="3">
        <f>IF(I24="DNP",0,D24*K24)</f>
        <v/>
      </c>
      <c r="M24" s="2" t="inlineStr"/>
    </row>
    <row r="25">
      <c r="A25" s="2" t="inlineStr">
        <is>
          <t>MCU</t>
        </is>
      </c>
      <c r="B25" s="2" t="inlineStr">
        <is>
          <t>SW1</t>
        </is>
      </c>
      <c r="C25" s="2" t="inlineStr">
        <is>
          <t>复位按键</t>
        </is>
      </c>
      <c r="D25" s="2" t="n">
        <v>1</v>
      </c>
      <c r="E25" s="2" t="inlineStr">
        <is>
          <t>ALPS Alpine/同等</t>
        </is>
      </c>
      <c r="F25" s="2" t="inlineStr">
        <is>
          <t>SKRPACE010</t>
        </is>
      </c>
      <c r="G25" s="2" t="inlineStr">
        <is>
          <t>轻触按键, 常开</t>
        </is>
      </c>
      <c r="H25" s="2" t="inlineStr">
        <is>
          <t>SMD 4.2x3.2mm</t>
        </is>
      </c>
      <c r="I25" s="2" t="inlineStr">
        <is>
          <t>装配</t>
        </is>
      </c>
      <c r="J25" s="3" t="n">
        <v>0.65</v>
      </c>
      <c r="K25" s="3" t="n">
        <v>0.42</v>
      </c>
      <c r="L25" s="3">
        <f>IF(I25="DNP",0,D25*K25)</f>
        <v/>
      </c>
      <c r="M25" s="2" t="inlineStr"/>
    </row>
    <row r="26">
      <c r="A26" s="2" t="inlineStr">
        <is>
          <t>MCU</t>
        </is>
      </c>
      <c r="B26" s="2" t="inlineStr">
        <is>
          <t>SW2</t>
        </is>
      </c>
      <c r="C26" s="2" t="inlineStr">
        <is>
          <t>学习按键</t>
        </is>
      </c>
      <c r="D26" s="2" t="n">
        <v>1</v>
      </c>
      <c r="E26" s="2" t="inlineStr">
        <is>
          <t>ALPS Alpine/同等</t>
        </is>
      </c>
      <c r="F26" s="2" t="inlineStr">
        <is>
          <t>SKRPACE010</t>
        </is>
      </c>
      <c r="G26" s="2" t="inlineStr">
        <is>
          <t>轻触按键, 常开</t>
        </is>
      </c>
      <c r="H26" s="2" t="inlineStr">
        <is>
          <t>SMD 4.2x3.2mm</t>
        </is>
      </c>
      <c r="I26" s="2" t="inlineStr">
        <is>
          <t>装配</t>
        </is>
      </c>
      <c r="J26" s="3" t="n">
        <v>0.65</v>
      </c>
      <c r="K26" s="3" t="n">
        <v>0.42</v>
      </c>
      <c r="L26" s="3">
        <f>IF(I26="DNP",0,D26*K26)</f>
        <v/>
      </c>
      <c r="M26" s="2" t="inlineStr"/>
    </row>
    <row r="27">
      <c r="A27" s="2" t="inlineStr">
        <is>
          <t>MCU</t>
        </is>
      </c>
      <c r="B27" s="2" t="inlineStr">
        <is>
          <t>D3</t>
        </is>
      </c>
      <c r="C27" s="2" t="inlineStr">
        <is>
          <t>状态LED</t>
        </is>
      </c>
      <c r="D27" s="2" t="n">
        <v>1</v>
      </c>
      <c r="E27" s="2" t="inlineStr">
        <is>
          <t>Everlight</t>
        </is>
      </c>
      <c r="F27" s="2" t="inlineStr">
        <is>
          <t>19-217/GHC-YR1S2/3T</t>
        </is>
      </c>
      <c r="G27" s="2" t="inlineStr">
        <is>
          <t>Green, 20mA</t>
        </is>
      </c>
      <c r="H27" s="2" t="inlineStr">
        <is>
          <t>0603</t>
        </is>
      </c>
      <c r="I27" s="2" t="inlineStr">
        <is>
          <t>装配</t>
        </is>
      </c>
      <c r="J27" s="3" t="n">
        <v>0.12</v>
      </c>
      <c r="K27" s="3" t="n">
        <v>0.07000000000000001</v>
      </c>
      <c r="L27" s="3">
        <f>IF(I27="DNP",0,D27*K27)</f>
        <v/>
      </c>
      <c r="M27" s="2" t="inlineStr"/>
    </row>
    <row r="28">
      <c r="A28" s="2" t="inlineStr">
        <is>
          <t>MCU</t>
        </is>
      </c>
      <c r="B28" s="2" t="inlineStr">
        <is>
          <t>R9</t>
        </is>
      </c>
      <c r="C28" s="2" t="inlineStr">
        <is>
          <t>LED限流</t>
        </is>
      </c>
      <c r="D28" s="2" t="n">
        <v>1</v>
      </c>
      <c r="E28" s="2" t="inlineStr">
        <is>
          <t>Yageo</t>
        </is>
      </c>
      <c r="F28" s="2" t="inlineStr">
        <is>
          <t>RC0603FR-071KL</t>
        </is>
      </c>
      <c r="G28" s="2" t="inlineStr">
        <is>
          <t>1kΩ, 1%</t>
        </is>
      </c>
      <c r="H28" s="2" t="inlineStr">
        <is>
          <t>0603</t>
        </is>
      </c>
      <c r="I28" s="2" t="inlineStr">
        <is>
          <t>装配</t>
        </is>
      </c>
      <c r="J28" s="3" t="n">
        <v>0.05</v>
      </c>
      <c r="K28" s="3" t="n">
        <v>0.02</v>
      </c>
      <c r="L28" s="3">
        <f>IF(I28="DNP",0,D28*K28)</f>
        <v/>
      </c>
      <c r="M28" s="2" t="inlineStr"/>
    </row>
    <row r="29">
      <c r="A29" s="2" t="inlineStr">
        <is>
          <t>MCU</t>
        </is>
      </c>
      <c r="B29" s="2" t="inlineStr">
        <is>
          <t>R10</t>
        </is>
      </c>
      <c r="C29" s="2" t="inlineStr">
        <is>
          <t>学习键上拉/下拉</t>
        </is>
      </c>
      <c r="D29" s="2" t="n">
        <v>1</v>
      </c>
      <c r="E29" s="2" t="inlineStr">
        <is>
          <t>Yageo</t>
        </is>
      </c>
      <c r="F29" s="2" t="inlineStr">
        <is>
          <t>RC0603FR-0710KL</t>
        </is>
      </c>
      <c r="G29" s="2" t="inlineStr">
        <is>
          <t>10kΩ, 1%</t>
        </is>
      </c>
      <c r="H29" s="2" t="inlineStr">
        <is>
          <t>0603</t>
        </is>
      </c>
      <c r="I29" s="2" t="inlineStr">
        <is>
          <t>装配</t>
        </is>
      </c>
      <c r="J29" s="3" t="n">
        <v>0.05</v>
      </c>
      <c r="K29" s="3" t="n">
        <v>0.02</v>
      </c>
      <c r="L29" s="3">
        <f>IF(I29="DNP",0,D29*K29)</f>
        <v/>
      </c>
      <c r="M29" s="2" t="inlineStr">
        <is>
          <t>按固件有效电平装配</t>
        </is>
      </c>
    </row>
    <row r="30">
      <c r="A30" s="2" t="inlineStr">
        <is>
          <t>调试</t>
        </is>
      </c>
      <c r="B30" s="2" t="inlineStr">
        <is>
          <t>J4</t>
        </is>
      </c>
      <c r="C30" s="2" t="inlineStr">
        <is>
          <t>SWD调试连接器</t>
        </is>
      </c>
      <c r="D30" s="2" t="n">
        <v>1</v>
      </c>
      <c r="E30" s="2" t="inlineStr">
        <is>
          <t>Ckmtw/同等</t>
        </is>
      </c>
      <c r="F30" s="2" t="inlineStr">
        <is>
          <t>1.27-5P-SMD</t>
        </is>
      </c>
      <c r="G30" s="2" t="inlineStr">
        <is>
          <t>5Pin, 1.27mm</t>
        </is>
      </c>
      <c r="H30" s="2" t="inlineStr">
        <is>
          <t>SMD</t>
        </is>
      </c>
      <c r="I30" s="2" t="inlineStr">
        <is>
          <t>装配</t>
        </is>
      </c>
      <c r="J30" s="3" t="n">
        <v>0.8</v>
      </c>
      <c r="K30" s="3" t="n">
        <v>0.48</v>
      </c>
      <c r="L30" s="3">
        <f>IF(I30="DNP",0,D30*K30)</f>
        <v/>
      </c>
      <c r="M30" s="2" t="inlineStr">
        <is>
          <t>3V3/SWDIO/SWCLK/NRST/GND</t>
        </is>
      </c>
    </row>
    <row r="31">
      <c r="A31" s="2" t="inlineStr">
        <is>
          <t>调试</t>
        </is>
      </c>
      <c r="B31" s="2" t="inlineStr">
        <is>
          <t>TP1-TP5</t>
        </is>
      </c>
      <c r="C31" s="2" t="inlineStr">
        <is>
          <t>测试点</t>
        </is>
      </c>
      <c r="D31" s="2" t="n">
        <v>5</v>
      </c>
      <c r="E31" s="2" t="inlineStr">
        <is>
          <t>Keystone/国产</t>
        </is>
      </c>
      <c r="F31" s="2" t="inlineStr">
        <is>
          <t>5015-equivalent</t>
        </is>
      </c>
      <c r="G31" s="2" t="inlineStr">
        <is>
          <t>1.0mm test pad / loop</t>
        </is>
      </c>
      <c r="H31" s="2" t="inlineStr">
        <is>
          <t>SMD/THT</t>
        </is>
      </c>
      <c r="I31" s="2" t="inlineStr">
        <is>
          <t>装配</t>
        </is>
      </c>
      <c r="J31" s="3" t="n">
        <v>0.22</v>
      </c>
      <c r="K31" s="3" t="n">
        <v>0.12</v>
      </c>
      <c r="L31" s="3">
        <f>IF(I31="DNP",0,D31*K31)</f>
        <v/>
      </c>
      <c r="M31" s="2" t="inlineStr">
        <is>
          <t>3V3,GND,RF_RX,CAN_RX,CAN_TX</t>
        </is>
      </c>
    </row>
    <row r="32">
      <c r="A32" s="2" t="inlineStr">
        <is>
          <t>RF接口</t>
        </is>
      </c>
      <c r="B32" s="2" t="inlineStr">
        <is>
          <t>J2</t>
        </is>
      </c>
      <c r="C32" s="2" t="inlineStr">
        <is>
          <t>433MHz接收模块连接器</t>
        </is>
      </c>
      <c r="D32" s="2" t="n">
        <v>1</v>
      </c>
      <c r="E32" s="2" t="inlineStr">
        <is>
          <t>Ckmtw/同等</t>
        </is>
      </c>
      <c r="F32" s="2" t="inlineStr">
        <is>
          <t>A2541WV-4P</t>
        </is>
      </c>
      <c r="G32" s="2" t="inlineStr">
        <is>
          <t>1x4, 2.54mm</t>
        </is>
      </c>
      <c r="H32" s="2" t="inlineStr">
        <is>
          <t>THT</t>
        </is>
      </c>
      <c r="I32" s="2" t="inlineStr">
        <is>
          <t>装配</t>
        </is>
      </c>
      <c r="J32" s="3" t="n">
        <v>0.45</v>
      </c>
      <c r="K32" s="3" t="n">
        <v>0.25</v>
      </c>
      <c r="L32" s="3">
        <f>IF(I32="DNP",0,D32*K32)</f>
        <v/>
      </c>
      <c r="M32" s="2" t="inlineStr">
        <is>
          <t>5V/GND/UART_TX/NC；以实物引脚为准</t>
        </is>
      </c>
    </row>
    <row r="33">
      <c r="A33" s="4" t="inlineStr">
        <is>
          <t>RF接口</t>
        </is>
      </c>
      <c r="B33" s="4" t="inlineStr">
        <is>
          <t>RF1</t>
        </is>
      </c>
      <c r="C33" s="4" t="inlineStr">
        <is>
          <t>433MHz UART接收模块</t>
        </is>
      </c>
      <c r="D33" s="4" t="n">
        <v>1</v>
      </c>
      <c r="E33" s="4" t="inlineStr">
        <is>
          <t>供应商待锁定</t>
        </is>
      </c>
      <c r="F33" s="4" t="inlineStr">
        <is>
          <t>433.92MHz UART RX</t>
        </is>
      </c>
      <c r="G33" s="4" t="inlineStr">
        <is>
          <t>超外差/OOK，UART 9600，输出地址+键值</t>
        </is>
      </c>
      <c r="H33" s="4" t="inlineStr">
        <is>
          <t>模块</t>
        </is>
      </c>
      <c r="I33" s="4" t="inlineStr">
        <is>
          <t>装配</t>
        </is>
      </c>
      <c r="J33" s="5" t="n">
        <v>18</v>
      </c>
      <c r="K33" s="5" t="n">
        <v>12</v>
      </c>
      <c r="L33" s="5">
        <f>IF(I33="DNP",0,D33*K33)</f>
        <v/>
      </c>
      <c r="M33" s="4" t="inlineStr">
        <is>
          <t>必须先做样品协议、电平和尺寸验证</t>
        </is>
      </c>
    </row>
    <row r="34">
      <c r="A34" s="2" t="inlineStr">
        <is>
          <t>RF接口</t>
        </is>
      </c>
      <c r="B34" s="2" t="inlineStr">
        <is>
          <t>ANT1</t>
        </is>
      </c>
      <c r="C34" s="2" t="inlineStr">
        <is>
          <t>433MHz天线</t>
        </is>
      </c>
      <c r="D34" s="2" t="n">
        <v>1</v>
      </c>
      <c r="E34" s="2" t="inlineStr">
        <is>
          <t>国产/同等</t>
        </is>
      </c>
      <c r="F34" s="2" t="inlineStr">
        <is>
          <t>433MHz spring antenna</t>
        </is>
      </c>
      <c r="G34" s="2" t="inlineStr">
        <is>
          <t>433.92MHz, 50Ω或17.3cm线天线</t>
        </is>
      </c>
      <c r="H34" s="2" t="inlineStr">
        <is>
          <t>THT</t>
        </is>
      </c>
      <c r="I34" s="2" t="inlineStr">
        <is>
          <t>装配</t>
        </is>
      </c>
      <c r="J34" s="3" t="n">
        <v>1.5</v>
      </c>
      <c r="K34" s="3" t="n">
        <v>0.85</v>
      </c>
      <c r="L34" s="3">
        <f>IF(I34="DNP",0,D34*K34)</f>
        <v/>
      </c>
      <c r="M34" s="2" t="inlineStr">
        <is>
          <t>外壳为金属时改外置天线</t>
        </is>
      </c>
    </row>
    <row r="35">
      <c r="A35" s="2" t="inlineStr">
        <is>
          <t>RF接口</t>
        </is>
      </c>
      <c r="B35" s="2" t="inlineStr">
        <is>
          <t>ESD1</t>
        </is>
      </c>
      <c r="C35" s="2" t="inlineStr">
        <is>
          <t>UART ESD保护</t>
        </is>
      </c>
      <c r="D35" s="2" t="n">
        <v>1</v>
      </c>
      <c r="E35" s="2" t="inlineStr">
        <is>
          <t>Nexperia</t>
        </is>
      </c>
      <c r="F35" s="2" t="inlineStr">
        <is>
          <t>PESD5V0S1BA</t>
        </is>
      </c>
      <c r="G35" s="2" t="inlineStr">
        <is>
          <t>5V, low capacitance</t>
        </is>
      </c>
      <c r="H35" s="2" t="inlineStr">
        <is>
          <t>SOD-323</t>
        </is>
      </c>
      <c r="I35" s="2" t="inlineStr">
        <is>
          <t>装配</t>
        </is>
      </c>
      <c r="J35" s="3" t="n">
        <v>0.38</v>
      </c>
      <c r="K35" s="3" t="n">
        <v>0.24</v>
      </c>
      <c r="L35" s="3">
        <f>IF(I35="DNP",0,D35*K35)</f>
        <v/>
      </c>
      <c r="M35" s="2" t="inlineStr">
        <is>
          <t>靠近J2</t>
        </is>
      </c>
    </row>
    <row r="36">
      <c r="A36" s="2" t="inlineStr">
        <is>
          <t>RF接口</t>
        </is>
      </c>
      <c r="B36" s="2" t="inlineStr">
        <is>
          <t>R3</t>
        </is>
      </c>
      <c r="C36" s="2" t="inlineStr">
        <is>
          <t>UART串联电阻</t>
        </is>
      </c>
      <c r="D36" s="2" t="n">
        <v>1</v>
      </c>
      <c r="E36" s="2" t="inlineStr">
        <is>
          <t>Yageo</t>
        </is>
      </c>
      <c r="F36" s="2" t="inlineStr">
        <is>
          <t>RC0603FR-071KL</t>
        </is>
      </c>
      <c r="G36" s="2" t="inlineStr">
        <is>
          <t>1kΩ, 1%</t>
        </is>
      </c>
      <c r="H36" s="2" t="inlineStr">
        <is>
          <t>0603</t>
        </is>
      </c>
      <c r="I36" s="2" t="inlineStr">
        <is>
          <t>装配</t>
        </is>
      </c>
      <c r="J36" s="3" t="n">
        <v>0.05</v>
      </c>
      <c r="K36" s="3" t="n">
        <v>0.02</v>
      </c>
      <c r="L36" s="3">
        <f>IF(I36="DNP",0,D36*K36)</f>
        <v/>
      </c>
      <c r="M36" s="2" t="inlineStr"/>
    </row>
    <row r="37">
      <c r="A37" s="2" t="inlineStr">
        <is>
          <t>RF接口</t>
        </is>
      </c>
      <c r="B37" s="2" t="inlineStr">
        <is>
          <t>R4</t>
        </is>
      </c>
      <c r="C37" s="2" t="inlineStr">
        <is>
          <t>UART下拉</t>
        </is>
      </c>
      <c r="D37" s="2" t="n">
        <v>1</v>
      </c>
      <c r="E37" s="2" t="inlineStr">
        <is>
          <t>Yageo</t>
        </is>
      </c>
      <c r="F37" s="2" t="inlineStr">
        <is>
          <t>RC0603FR-07100KL</t>
        </is>
      </c>
      <c r="G37" s="2" t="inlineStr">
        <is>
          <t>100kΩ, 1%</t>
        </is>
      </c>
      <c r="H37" s="2" t="inlineStr">
        <is>
          <t>0603</t>
        </is>
      </c>
      <c r="I37" s="2" t="inlineStr">
        <is>
          <t>装配</t>
        </is>
      </c>
      <c r="J37" s="3" t="n">
        <v>0.05</v>
      </c>
      <c r="K37" s="3" t="n">
        <v>0.02</v>
      </c>
      <c r="L37" s="3">
        <f>IF(I37="DNP",0,D37*K37)</f>
        <v/>
      </c>
      <c r="M37" s="2" t="inlineStr"/>
    </row>
    <row r="38">
      <c r="A38" s="2" t="inlineStr">
        <is>
          <t>RF接口</t>
        </is>
      </c>
      <c r="B38" s="2" t="inlineStr">
        <is>
          <t>R5</t>
        </is>
      </c>
      <c r="C38" s="2" t="inlineStr">
        <is>
          <t>5V转3V3分压上臂</t>
        </is>
      </c>
      <c r="D38" s="2" t="n">
        <v>1</v>
      </c>
      <c r="E38" s="2" t="inlineStr">
        <is>
          <t>Yageo</t>
        </is>
      </c>
      <c r="F38" s="2" t="inlineStr">
        <is>
          <t>RC0603FR-0710KL</t>
        </is>
      </c>
      <c r="G38" s="2" t="inlineStr">
        <is>
          <t>10kΩ, 1%</t>
        </is>
      </c>
      <c r="H38" s="2" t="inlineStr">
        <is>
          <t>0603</t>
        </is>
      </c>
      <c r="I38" s="2" t="inlineStr">
        <is>
          <t>条件装配</t>
        </is>
      </c>
      <c r="J38" s="3" t="n">
        <v>0.05</v>
      </c>
      <c r="K38" s="3" t="n">
        <v>0.02</v>
      </c>
      <c r="L38" s="3">
        <f>IF(I38="DNP",0,D38*K38)</f>
        <v/>
      </c>
      <c r="M38" s="2" t="inlineStr">
        <is>
          <t>仅模块输出5V时装配</t>
        </is>
      </c>
    </row>
    <row r="39">
      <c r="A39" s="2" t="inlineStr">
        <is>
          <t>RF接口</t>
        </is>
      </c>
      <c r="B39" s="2" t="inlineStr">
        <is>
          <t>R6</t>
        </is>
      </c>
      <c r="C39" s="2" t="inlineStr">
        <is>
          <t>5V转3V3分压下臂</t>
        </is>
      </c>
      <c r="D39" s="2" t="n">
        <v>1</v>
      </c>
      <c r="E39" s="2" t="inlineStr">
        <is>
          <t>Yageo</t>
        </is>
      </c>
      <c r="F39" s="2" t="inlineStr">
        <is>
          <t>RC0603FR-0720KL</t>
        </is>
      </c>
      <c r="G39" s="2" t="inlineStr">
        <is>
          <t>20kΩ, 1%</t>
        </is>
      </c>
      <c r="H39" s="2" t="inlineStr">
        <is>
          <t>0603</t>
        </is>
      </c>
      <c r="I39" s="2" t="inlineStr">
        <is>
          <t>条件装配</t>
        </is>
      </c>
      <c r="J39" s="3" t="n">
        <v>0.05</v>
      </c>
      <c r="K39" s="3" t="n">
        <v>0.02</v>
      </c>
      <c r="L39" s="3">
        <f>IF(I39="DNP",0,D39*K39)</f>
        <v/>
      </c>
      <c r="M39" s="2" t="inlineStr">
        <is>
          <t>仅模块输出5V时装配</t>
        </is>
      </c>
    </row>
    <row r="40">
      <c r="A40" s="6" t="inlineStr">
        <is>
          <t>RF接口</t>
        </is>
      </c>
      <c r="B40" s="6" t="inlineStr">
        <is>
          <t>JP1</t>
        </is>
      </c>
      <c r="C40" s="6" t="inlineStr">
        <is>
          <t>3V3 UART旁路焊桥</t>
        </is>
      </c>
      <c r="D40" s="6" t="n">
        <v>1</v>
      </c>
      <c r="E40" s="6" t="inlineStr">
        <is>
          <t>PCB feature</t>
        </is>
      </c>
      <c r="F40" s="6" t="inlineStr">
        <is>
          <t>SolderJumper-2</t>
        </is>
      </c>
      <c r="G40" s="6" t="inlineStr">
        <is>
          <t>2Pad solder jumper</t>
        </is>
      </c>
      <c r="H40" s="6" t="inlineStr">
        <is>
          <t>PCB</t>
        </is>
      </c>
      <c r="I40" s="6" t="inlineStr">
        <is>
          <t>DNP</t>
        </is>
      </c>
      <c r="J40" s="7" t="n">
        <v>0</v>
      </c>
      <c r="K40" s="7" t="n">
        <v>0</v>
      </c>
      <c r="L40" s="7">
        <f>IF(I40="DNP",0,D40*K40)</f>
        <v/>
      </c>
      <c r="M40" s="6" t="inlineStr">
        <is>
          <t>仅确认模块输出3.3V时短接</t>
        </is>
      </c>
    </row>
    <row r="41">
      <c r="A41" s="2" t="inlineStr">
        <is>
          <t>CAN</t>
        </is>
      </c>
      <c r="B41" s="2" t="inlineStr">
        <is>
          <t>U4</t>
        </is>
      </c>
      <c r="C41" s="2" t="inlineStr">
        <is>
          <t>高速CAN收发器</t>
        </is>
      </c>
      <c r="D41" s="2" t="n">
        <v>1</v>
      </c>
      <c r="E41" s="2" t="inlineStr">
        <is>
          <t>Texas Instruments</t>
        </is>
      </c>
      <c r="F41" s="2" t="inlineStr">
        <is>
          <t>TCAN1042HGVDRQ1</t>
        </is>
      </c>
      <c r="G41" s="2" t="inlineStr">
        <is>
          <t>5V VCC, 3.3V VIO, ±70V bus fault, AEC-Q100</t>
        </is>
      </c>
      <c r="H41" s="2" t="inlineStr">
        <is>
          <t>SOIC-8</t>
        </is>
      </c>
      <c r="I41" s="2" t="inlineStr">
        <is>
          <t>装配</t>
        </is>
      </c>
      <c r="J41" s="3" t="n">
        <v>6.2</v>
      </c>
      <c r="K41" s="3" t="n">
        <v>4.6</v>
      </c>
      <c r="L41" s="3">
        <f>IF(I41="DNP",0,D41*K41)</f>
        <v/>
      </c>
      <c r="M41" s="2" t="inlineStr"/>
    </row>
    <row r="42">
      <c r="A42" s="2" t="inlineStr">
        <is>
          <t>CAN</t>
        </is>
      </c>
      <c r="B42" s="2" t="inlineStr">
        <is>
          <t>R11</t>
        </is>
      </c>
      <c r="C42" s="2" t="inlineStr">
        <is>
          <t>STB下拉</t>
        </is>
      </c>
      <c r="D42" s="2" t="n">
        <v>1</v>
      </c>
      <c r="E42" s="2" t="inlineStr">
        <is>
          <t>Yageo</t>
        </is>
      </c>
      <c r="F42" s="2" t="inlineStr">
        <is>
          <t>RC0603FR-0710KL</t>
        </is>
      </c>
      <c r="G42" s="2" t="inlineStr">
        <is>
          <t>10kΩ, 1%</t>
        </is>
      </c>
      <c r="H42" s="2" t="inlineStr">
        <is>
          <t>0603</t>
        </is>
      </c>
      <c r="I42" s="2" t="inlineStr">
        <is>
          <t>装配</t>
        </is>
      </c>
      <c r="J42" s="3" t="n">
        <v>0.05</v>
      </c>
      <c r="K42" s="3" t="n">
        <v>0.02</v>
      </c>
      <c r="L42" s="3">
        <f>IF(I42="DNP",0,D42*K42)</f>
        <v/>
      </c>
      <c r="M42" s="2" t="inlineStr">
        <is>
          <t>默认Normal模式</t>
        </is>
      </c>
    </row>
    <row r="43">
      <c r="A43" s="2" t="inlineStr">
        <is>
          <t>CAN</t>
        </is>
      </c>
      <c r="B43" s="2" t="inlineStr">
        <is>
          <t>L2</t>
        </is>
      </c>
      <c r="C43" s="2" t="inlineStr">
        <is>
          <t>CAN共模电感</t>
        </is>
      </c>
      <c r="D43" s="2" t="n">
        <v>1</v>
      </c>
      <c r="E43" s="2" t="inlineStr">
        <is>
          <t>TDK</t>
        </is>
      </c>
      <c r="F43" s="2" t="inlineStr">
        <is>
          <t>ACT45B-510-2P-TL003</t>
        </is>
      </c>
      <c r="G43" s="2" t="inlineStr">
        <is>
          <t>51uH, CAN/CAN-FD, AEC-Q200</t>
        </is>
      </c>
      <c r="H43" s="2" t="inlineStr">
        <is>
          <t>1812-class</t>
        </is>
      </c>
      <c r="I43" s="2" t="inlineStr">
        <is>
          <t>装配</t>
        </is>
      </c>
      <c r="J43" s="3" t="n">
        <v>4.2</v>
      </c>
      <c r="K43" s="3" t="n">
        <v>3.1</v>
      </c>
      <c r="L43" s="3">
        <f>IF(I43="DNP",0,D43*K43)</f>
        <v/>
      </c>
      <c r="M43" s="2" t="inlineStr">
        <is>
          <t>首板同时预留0Ω旁路</t>
        </is>
      </c>
    </row>
    <row r="44">
      <c r="A44" s="6" t="inlineStr">
        <is>
          <t>CAN</t>
        </is>
      </c>
      <c r="B44" s="6" t="inlineStr">
        <is>
          <t>JP2</t>
        </is>
      </c>
      <c r="C44" s="6" t="inlineStr">
        <is>
          <t>CMC旁路</t>
        </is>
      </c>
      <c r="D44" s="6" t="n">
        <v>2</v>
      </c>
      <c r="E44" s="6" t="inlineStr">
        <is>
          <t>Yageo</t>
        </is>
      </c>
      <c r="F44" s="6" t="inlineStr">
        <is>
          <t>RC0805JR-070RL</t>
        </is>
      </c>
      <c r="G44" s="6" t="inlineStr">
        <is>
          <t>0Ω jumper</t>
        </is>
      </c>
      <c r="H44" s="6" t="inlineStr">
        <is>
          <t>0805</t>
        </is>
      </c>
      <c r="I44" s="6" t="inlineStr">
        <is>
          <t>DNP</t>
        </is>
      </c>
      <c r="J44" s="7" t="n">
        <v>0.04</v>
      </c>
      <c r="K44" s="7" t="n">
        <v>0.015</v>
      </c>
      <c r="L44" s="7">
        <f>IF(I44="DNP",0,D44*K44)</f>
        <v/>
      </c>
      <c r="M44" s="6" t="inlineStr">
        <is>
          <t>仅不装L2时装配两颗</t>
        </is>
      </c>
    </row>
    <row r="45">
      <c r="A45" s="2" t="inlineStr">
        <is>
          <t>CAN</t>
        </is>
      </c>
      <c r="B45" s="2" t="inlineStr">
        <is>
          <t>D4</t>
        </is>
      </c>
      <c r="C45" s="2" t="inlineStr">
        <is>
          <t>CAN双线TVS</t>
        </is>
      </c>
      <c r="D45" s="2" t="n">
        <v>1</v>
      </c>
      <c r="E45" s="2" t="inlineStr">
        <is>
          <t>Littelfuse</t>
        </is>
      </c>
      <c r="F45" s="2" t="inlineStr">
        <is>
          <t>SM24CANB-02HTG</t>
        </is>
      </c>
      <c r="G45" s="2" t="inlineStr">
        <is>
          <t>24V, dual CAN line protection</t>
        </is>
      </c>
      <c r="H45" s="2" t="inlineStr">
        <is>
          <t>SOT-23</t>
        </is>
      </c>
      <c r="I45" s="2" t="inlineStr">
        <is>
          <t>装配</t>
        </is>
      </c>
      <c r="J45" s="3" t="n">
        <v>3.2</v>
      </c>
      <c r="K45" s="3" t="n">
        <v>2.2</v>
      </c>
      <c r="L45" s="3">
        <f>IF(I45="DNP",0,D45*K45)</f>
        <v/>
      </c>
      <c r="M45" s="2" t="inlineStr">
        <is>
          <t>靠近J3</t>
        </is>
      </c>
    </row>
    <row r="46">
      <c r="A46" s="2" t="inlineStr">
        <is>
          <t>CAN</t>
        </is>
      </c>
      <c r="B46" s="2" t="inlineStr">
        <is>
          <t>J3</t>
        </is>
      </c>
      <c r="C46" s="2" t="inlineStr">
        <is>
          <t>CAN连接器</t>
        </is>
      </c>
      <c r="D46" s="2" t="n">
        <v>1</v>
      </c>
      <c r="E46" s="2" t="inlineStr">
        <is>
          <t>Degson/同等</t>
        </is>
      </c>
      <c r="F46" s="2" t="inlineStr">
        <is>
          <t>DG128-5.08-04P</t>
        </is>
      </c>
      <c r="G46" s="2" t="inlineStr">
        <is>
          <t>4Pin, 5.08mm</t>
        </is>
      </c>
      <c r="H46" s="2" t="inlineStr">
        <is>
          <t>THT</t>
        </is>
      </c>
      <c r="I46" s="2" t="inlineStr">
        <is>
          <t>装配</t>
        </is>
      </c>
      <c r="J46" s="3" t="n">
        <v>2.2</v>
      </c>
      <c r="K46" s="3" t="n">
        <v>1.45</v>
      </c>
      <c r="L46" s="3">
        <f>IF(I46="DNP",0,D46*K46)</f>
        <v/>
      </c>
      <c r="M46" s="2" t="inlineStr">
        <is>
          <t>CANH/CANL/GND/SHIELD</t>
        </is>
      </c>
    </row>
    <row r="47">
      <c r="A47" s="6" t="inlineStr">
        <is>
          <t>CAN</t>
        </is>
      </c>
      <c r="B47" s="6" t="inlineStr">
        <is>
          <t>R12,R13</t>
        </is>
      </c>
      <c r="C47" s="6" t="inlineStr">
        <is>
          <t>分裂终端电阻</t>
        </is>
      </c>
      <c r="D47" s="6" t="n">
        <v>2</v>
      </c>
      <c r="E47" s="6" t="inlineStr">
        <is>
          <t>Yageo</t>
        </is>
      </c>
      <c r="F47" s="6" t="inlineStr">
        <is>
          <t>RC0805FR-0760R4L</t>
        </is>
      </c>
      <c r="G47" s="6" t="inlineStr">
        <is>
          <t>60.4Ω, 1%, 0.125W</t>
        </is>
      </c>
      <c r="H47" s="6" t="inlineStr">
        <is>
          <t>0805</t>
        </is>
      </c>
      <c r="I47" s="6" t="inlineStr">
        <is>
          <t>DNP</t>
        </is>
      </c>
      <c r="J47" s="7" t="n">
        <v>0.08</v>
      </c>
      <c r="K47" s="7" t="n">
        <v>0.04</v>
      </c>
      <c r="L47" s="7">
        <f>IF(I47="DNP",0,D47*K47)</f>
        <v/>
      </c>
      <c r="M47" s="6" t="inlineStr">
        <is>
          <t>仅总线物理末端装配</t>
        </is>
      </c>
    </row>
    <row r="48">
      <c r="A48" s="6" t="inlineStr">
        <is>
          <t>CAN</t>
        </is>
      </c>
      <c r="B48" s="6" t="inlineStr">
        <is>
          <t>C19</t>
        </is>
      </c>
      <c r="C48" s="6" t="inlineStr">
        <is>
          <t>分裂终端电容</t>
        </is>
      </c>
      <c r="D48" s="6" t="n">
        <v>1</v>
      </c>
      <c r="E48" s="6" t="inlineStr">
        <is>
          <t>Murata</t>
        </is>
      </c>
      <c r="F48" s="6" t="inlineStr">
        <is>
          <t>GRM21BR71H472KA01L</t>
        </is>
      </c>
      <c r="G48" s="6" t="inlineStr">
        <is>
          <t>4.7nF, 50V, X7R</t>
        </is>
      </c>
      <c r="H48" s="6" t="inlineStr">
        <is>
          <t>0805</t>
        </is>
      </c>
      <c r="I48" s="6" t="inlineStr">
        <is>
          <t>DNP</t>
        </is>
      </c>
      <c r="J48" s="7" t="n">
        <v>0.12</v>
      </c>
      <c r="K48" s="7" t="n">
        <v>0.07000000000000001</v>
      </c>
      <c r="L48" s="7">
        <f>IF(I48="DNP",0,D48*K48)</f>
        <v/>
      </c>
      <c r="M48" s="6" t="inlineStr">
        <is>
          <t>仅总线物理末端装配</t>
        </is>
      </c>
    </row>
    <row r="49">
      <c r="A49" s="6" t="inlineStr">
        <is>
          <t>CAN</t>
        </is>
      </c>
      <c r="B49" s="6" t="inlineStr">
        <is>
          <t>JP3</t>
        </is>
      </c>
      <c r="C49" s="6" t="inlineStr">
        <is>
          <t>终端使能焊桥</t>
        </is>
      </c>
      <c r="D49" s="6" t="n">
        <v>1</v>
      </c>
      <c r="E49" s="6" t="inlineStr">
        <is>
          <t>PCB feature</t>
        </is>
      </c>
      <c r="F49" s="6" t="inlineStr">
        <is>
          <t>SolderJumper-2</t>
        </is>
      </c>
      <c r="G49" s="6" t="inlineStr">
        <is>
          <t>2Pad solder jumper</t>
        </is>
      </c>
      <c r="H49" s="6" t="inlineStr">
        <is>
          <t>PCB</t>
        </is>
      </c>
      <c r="I49" s="6" t="inlineStr">
        <is>
          <t>DNP</t>
        </is>
      </c>
      <c r="J49" s="7" t="n">
        <v>0</v>
      </c>
      <c r="K49" s="7" t="n">
        <v>0</v>
      </c>
      <c r="L49" s="7">
        <f>IF(I49="DNP",0,D49*K49)</f>
        <v/>
      </c>
      <c r="M49" s="6" t="inlineStr">
        <is>
          <t>可由0Ω电阻替代</t>
        </is>
      </c>
    </row>
    <row r="50">
      <c r="A50" s="4" t="inlineStr">
        <is>
          <t>遥控器</t>
        </is>
      </c>
      <c r="B50" s="4" t="inlineStr">
        <is>
          <t>RC1</t>
        </is>
      </c>
      <c r="C50" s="4" t="inlineStr">
        <is>
          <t>15键433MHz遥控器</t>
        </is>
      </c>
      <c r="D50" s="4" t="n">
        <v>1</v>
      </c>
      <c r="E50" s="4" t="inlineStr">
        <is>
          <t>供应商待锁定</t>
        </is>
      </c>
      <c r="F50" s="4" t="inlineStr">
        <is>
          <t>EV1527-compatible 15-key</t>
        </is>
      </c>
      <c r="G50" s="4" t="inlineStr">
        <is>
          <t>433.92MHz OOK, unique address</t>
        </is>
      </c>
      <c r="H50" s="4" t="inlineStr">
        <is>
          <t>成品</t>
        </is>
      </c>
      <c r="I50" s="4" t="inlineStr">
        <is>
          <t>装配</t>
        </is>
      </c>
      <c r="J50" s="5" t="n">
        <v>22</v>
      </c>
      <c r="K50" s="5" t="n">
        <v>15</v>
      </c>
      <c r="L50" s="5">
        <f>IF(I50="DNP",0,D50*K50)</f>
        <v/>
      </c>
      <c r="M50" s="4" t="inlineStr">
        <is>
          <t>RF433LED仅作搜索词，量产必须锁型号</t>
        </is>
      </c>
    </row>
    <row r="51">
      <c r="A51" s="2" t="inlineStr">
        <is>
          <t>结构</t>
        </is>
      </c>
      <c r="B51" s="2" t="inlineStr">
        <is>
          <t>H1-H4</t>
        </is>
      </c>
      <c r="C51" s="2" t="inlineStr">
        <is>
          <t>M3安装孔/螺丝</t>
        </is>
      </c>
      <c r="D51" s="2" t="n">
        <v>4</v>
      </c>
      <c r="E51" s="2" t="inlineStr">
        <is>
          <t>国产/同等</t>
        </is>
      </c>
      <c r="F51" s="2" t="inlineStr">
        <is>
          <t>M3x6 + spacer</t>
        </is>
      </c>
      <c r="G51" s="2" t="inlineStr">
        <is>
          <t>M3铜柱/螺丝</t>
        </is>
      </c>
      <c r="H51" s="2" t="inlineStr">
        <is>
          <t>机械件</t>
        </is>
      </c>
      <c r="I51" s="2" t="inlineStr">
        <is>
          <t>装配</t>
        </is>
      </c>
      <c r="J51" s="3" t="n">
        <v>0.35</v>
      </c>
      <c r="K51" s="3" t="n">
        <v>0.22</v>
      </c>
      <c r="L51" s="3">
        <f>IF(I51="DNP",0,D51*K51)</f>
        <v/>
      </c>
      <c r="M51" s="2" t="inlineStr"/>
    </row>
    <row r="52">
      <c r="A52" s="2" t="inlineStr">
        <is>
          <t>结构</t>
        </is>
      </c>
      <c r="B52" s="2" t="inlineStr">
        <is>
          <t>PCB1</t>
        </is>
      </c>
      <c r="C52" s="2" t="inlineStr">
        <is>
          <t>双层PCB</t>
        </is>
      </c>
      <c r="D52" s="2" t="n">
        <v>1</v>
      </c>
      <c r="E52" s="2" t="inlineStr">
        <is>
          <t>JLCPCB/同等</t>
        </is>
      </c>
      <c r="F52" s="2" t="inlineStr">
        <is>
          <t>FR-4 1.6mm</t>
        </is>
      </c>
      <c r="G52" s="2" t="inlineStr">
        <is>
          <t>2 layer, 1oz, HASL-LF, 约117x60mm</t>
        </is>
      </c>
      <c r="H52" s="2" t="inlineStr">
        <is>
          <t>PCB</t>
        </is>
      </c>
      <c r="I52" s="2" t="inlineStr">
        <is>
          <t>装配</t>
        </is>
      </c>
      <c r="J52" s="3" t="n">
        <v>8</v>
      </c>
      <c r="K52" s="3" t="n">
        <v>4.5</v>
      </c>
      <c r="L52" s="3">
        <f>IF(I52="DNP",0,D52*K52)</f>
        <v/>
      </c>
      <c r="M52" s="2" t="inlineStr">
        <is>
          <t>缩板后成本可下降</t>
        </is>
      </c>
    </row>
    <row r="53">
      <c r="A53" s="2" t="inlineStr">
        <is>
          <t>结构</t>
        </is>
      </c>
      <c r="B53" s="2" t="inlineStr">
        <is>
          <t>CASE1</t>
        </is>
      </c>
      <c r="C53" s="2" t="inlineStr">
        <is>
          <t>塑料外壳</t>
        </is>
      </c>
      <c r="D53" s="2" t="n">
        <v>1</v>
      </c>
      <c r="E53" s="2" t="inlineStr">
        <is>
          <t>Takachi/国产</t>
        </is>
      </c>
      <c r="F53" s="2" t="inlineStr">
        <is>
          <t>约120x70x30mm</t>
        </is>
      </c>
      <c r="G53" s="2" t="inlineStr">
        <is>
          <t>ABS, 阻燃建议UL94-V0</t>
        </is>
      </c>
      <c r="H53" s="2" t="inlineStr">
        <is>
          <t>机械件</t>
        </is>
      </c>
      <c r="I53" s="2" t="inlineStr">
        <is>
          <t>装配</t>
        </is>
      </c>
      <c r="J53" s="3" t="n">
        <v>18</v>
      </c>
      <c r="K53" s="3" t="n">
        <v>11</v>
      </c>
      <c r="L53" s="3">
        <f>IF(I53="DNP",0,D53*K53)</f>
        <v/>
      </c>
      <c r="M53" s="2" t="inlineStr">
        <is>
          <t>不开模通用外壳</t>
        </is>
      </c>
    </row>
    <row r="54">
      <c r="A54" s="2" t="inlineStr">
        <is>
          <t>制造</t>
        </is>
      </c>
      <c r="B54" s="2" t="inlineStr">
        <is>
          <t>SMT</t>
        </is>
      </c>
      <c r="C54" s="2" t="inlineStr">
        <is>
          <t>SMT贴片及手焊</t>
        </is>
      </c>
      <c r="D54" s="2" t="n">
        <v>1</v>
      </c>
      <c r="E54" s="2" t="inlineStr">
        <is>
          <t>EMS待定</t>
        </is>
      </c>
      <c r="F54" s="2" t="inlineStr">
        <is>
          <t>Assembly</t>
        </is>
      </c>
      <c r="G54" s="2" t="inlineStr">
        <is>
          <t>双面以内，含基础测试</t>
        </is>
      </c>
      <c r="H54" s="2" t="inlineStr">
        <is>
          <t>服务</t>
        </is>
      </c>
      <c r="I54" s="2" t="inlineStr">
        <is>
          <t>装配</t>
        </is>
      </c>
      <c r="J54" s="3" t="n">
        <v>18</v>
      </c>
      <c r="K54" s="3" t="n">
        <v>10</v>
      </c>
      <c r="L54" s="3">
        <f>IF(I54="DNP",0,D54*K54)</f>
        <v/>
      </c>
      <c r="M54" s="2" t="inlineStr">
        <is>
          <t>不含ICT/FCT治具摊销</t>
        </is>
      </c>
    </row>
  </sheetData>
  <autoFilter ref="A1:M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8" customWidth="1" min="1" max="1"/>
    <col width="70" customWidth="1" min="2" max="2"/>
  </cols>
  <sheetData>
    <row r="1">
      <c r="A1" s="8" t="inlineStr">
        <is>
          <t>RemoteCAN Gateway 成本汇总（人民币，规划估算）</t>
        </is>
      </c>
      <c r="B1" s="8" t="inlineStr">
        <is>
          <t>数值</t>
        </is>
      </c>
    </row>
    <row r="2">
      <c r="A2" s="2" t="inlineStr">
        <is>
          <t>1000套：单板/单套物料+制造成本</t>
        </is>
      </c>
      <c r="B2" s="9">
        <f>SUM(完整BOM!L2:L54)</f>
        <v/>
      </c>
    </row>
    <row r="3">
      <c r="A3" s="2" t="inlineStr">
        <is>
          <t>100套：单板/单套物料+制造成本</t>
        </is>
      </c>
      <c r="B3" s="9">
        <f>SUMPRODUCT((完整BOM!I2:I54&lt;&gt;"DNP")*完整BOM!D2:D54*完整BOM!J2:J54)</f>
        <v/>
      </c>
    </row>
    <row r="4">
      <c r="A4" s="2" t="inlineStr">
        <is>
          <t>1000套硬件总额</t>
        </is>
      </c>
      <c r="B4" s="9">
        <f>B2*1000</f>
        <v/>
      </c>
    </row>
    <row r="5">
      <c r="A5" s="2" t="inlineStr">
        <is>
          <t>说明1</t>
        </is>
      </c>
      <c r="B5" s="2" t="inlineStr">
        <is>
          <t>价格为2026-10规划估算，不是供应商正式报价；未含税费、运输、认证、模具、研发和售后。</t>
        </is>
      </c>
    </row>
    <row r="6">
      <c r="A6" s="2" t="inlineStr">
        <is>
          <t>说明2</t>
        </is>
      </c>
      <c r="B6" s="2" t="inlineStr">
        <is>
          <t>DNP默认不计成本；“条件装配”当前计入，量产时根据RF模块电平二选一调整。</t>
        </is>
      </c>
    </row>
    <row r="7">
      <c r="A7" s="2" t="inlineStr">
        <is>
          <t>说明3</t>
        </is>
      </c>
      <c r="B7" s="2" t="inlineStr">
        <is>
          <t>RF模块和遥控器供应商尚未锁定，是当前成本及封装误差的主要风险。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2026-10-24T10:04:49Z</dcterms:created>
  <dcterms:modified xmlns:dcterms="http://purl.org/dc/terms/" xmlns:xsi="http://www.w3.org/2001/XMLSchema-instance" xsi:type="dcterms:W3CDTF">2026-10-24T10:04:49Z</dcterms:modified>
</cp:coreProperties>
</file>